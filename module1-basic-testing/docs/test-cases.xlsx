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00" windowWidth="12120" windowHeight="9000" tabRatio="600" firstSheet="0" activeTab="1" autoFilterDateGrouping="1"/>
  </bookViews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  <definedName name="_xlnm._FilterDatabase" localSheetId="1" hidden="1">'Test Cases测试用例'!$A$1:$M$33</definedName>
  </definedNames>
  <calcPr calcId="162913" fullCalcOnLoad="1" concurrentCalc="0" forceFullCalc="1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5">
    <font>
      <name val="Arial"/>
      <family val="2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i val="1"/>
      <color indexed="10"/>
      <sz val="11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i val="1"/>
      <color indexed="10"/>
      <sz val="11"/>
    </font>
    <font>
      <name val="Times New Roman"/>
      <family val="1"/>
      <color indexed="9"/>
      <sz val="12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color indexed="10"/>
      <sz val="12"/>
    </font>
  </fonts>
  <fills count="7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applyProtection="1" pivotButton="0" quotePrefix="0" xfId="0">
      <alignment horizontal="centerContinuous"/>
      <protection locked="0" hidden="0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applyProtection="1" pivotButton="0" quotePrefix="0" xfId="0">
      <alignment horizontal="centerContinuous"/>
      <protection locked="0" hidden="0"/>
    </xf>
    <xf numFmtId="49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/>
    </xf>
    <xf numFmtId="0" fontId="7" fillId="3" borderId="5" applyAlignment="1" applyProtection="1" pivotButton="0" quotePrefix="0" xfId="0">
      <alignment horizontal="centerContinuous"/>
      <protection locked="0" hidden="0"/>
    </xf>
    <xf numFmtId="0" fontId="7" fillId="3" borderId="6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7" fillId="6" borderId="0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applyProtection="1" pivotButton="0" quotePrefix="0" xfId="0">
      <alignment wrapText="1"/>
      <protection locked="0" hidden="0"/>
    </xf>
    <xf numFmtId="0" fontId="7" fillId="0" borderId="0" pivotButton="0" quotePrefix="0" xfId="0"/>
    <xf numFmtId="0" fontId="7" fillId="3" borderId="8" applyProtection="1" pivotButton="0" quotePrefix="0" xfId="0">
      <protection locked="0" hidden="0"/>
    </xf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164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9" fillId="3" borderId="8" applyAlignment="1" applyProtection="1" pivotButton="0" quotePrefix="0" xfId="0">
      <alignment horizontal="left" vertical="top" wrapText="1"/>
      <protection locked="0" hidden="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5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xmlns:a="http://schemas.openxmlformats.org/drawingml/2006/main" w="2540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056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104775"/>
          <a:ext cx="2828925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L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28125" defaultRowHeight="15.6"/>
  <cols>
    <col width="1.6328125" customWidth="1" style="43" min="1" max="1"/>
    <col width="10.6328125" customWidth="1" style="43" min="2" max="13"/>
    <col width="7.6328125" customWidth="1" style="43" min="14" max="15"/>
    <col width="11.6328125" customWidth="1" style="43" min="16" max="16384"/>
  </cols>
  <sheetData>
    <row r="1" ht="9.9" customHeight="1"/>
    <row r="2" ht="23.4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" customHeight="1"/>
    <row r="6" ht="16.2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" customHeight="1">
      <c r="B7" s="9" t="inlineStr">
        <is>
          <t>Product Verion 产品版本</t>
        </is>
      </c>
      <c r="C7" s="9" t="n"/>
      <c r="D7" s="9" t="n"/>
      <c r="E7" s="11" t="inlineStr">
        <is>
          <t>1.0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>课程作业-模块一</t>
        </is>
      </c>
      <c r="K7" s="11" t="n"/>
      <c r="L7" s="10" t="n"/>
    </row>
    <row r="8" ht="16.2" customHeight="1">
      <c r="B8" s="9" t="inlineStr">
        <is>
          <t>Project Name 项目名称</t>
        </is>
      </c>
      <c r="C8" s="9" t="n"/>
      <c r="D8" s="9" t="n"/>
      <c r="E8" s="11" t="inlineStr">
        <is>
          <t>Software-Testing-Practice--Gray-Box-Group</t>
        </is>
      </c>
      <c r="F8" s="11" t="n"/>
      <c r="G8" s="9" t="inlineStr">
        <is>
          <t>Project ID 项目ID</t>
        </is>
      </c>
      <c r="H8" s="9" t="n"/>
      <c r="I8" s="9" t="n"/>
      <c r="J8" s="11" t="inlineStr">
        <is>
          <t>STP-GRAY-BOX-2026</t>
        </is>
      </c>
      <c r="K8" s="11" t="n"/>
      <c r="L8" s="10" t="n"/>
    </row>
    <row r="9" ht="16.2" customHeight="1">
      <c r="B9" s="9" t="inlineStr">
        <is>
          <t>Prepared by 拟制</t>
        </is>
      </c>
      <c r="C9" s="9" t="n"/>
      <c r="D9" s="9" t="n"/>
      <c r="E9" s="11" t="inlineStr">
        <is>
          <t>ZhuJiacheng</t>
        </is>
      </c>
      <c r="F9" s="11" t="n"/>
      <c r="G9" s="9" t="inlineStr">
        <is>
          <t>Date 日期</t>
        </is>
      </c>
      <c r="H9" s="9" t="n"/>
      <c r="I9" s="9" t="n"/>
      <c r="J9" s="11" t="inlineStr">
        <is>
          <t>2026.09.13</t>
        </is>
      </c>
      <c r="K9" s="11" t="n"/>
      <c r="L9" s="10" t="n"/>
    </row>
    <row r="10" ht="16.2" customHeight="1">
      <c r="B10" s="9" t="inlineStr">
        <is>
          <t>Reviewed by 评审人</t>
        </is>
      </c>
      <c r="C10" s="9" t="n"/>
      <c r="D10" s="9" t="n"/>
      <c r="E10" s="11" t="inlineStr">
        <is>
          <t>待复核</t>
        </is>
      </c>
      <c r="F10" s="11" t="n"/>
      <c r="G10" s="9" t="inlineStr">
        <is>
          <t>Date 日期</t>
        </is>
      </c>
      <c r="H10" s="9" t="n"/>
      <c r="I10" s="9" t="n"/>
      <c r="J10" s="11" t="inlineStr">
        <is>
          <t xml:space="preserve"> </t>
        </is>
      </c>
      <c r="K10" s="11" t="n"/>
      <c r="L10" s="10" t="n"/>
    </row>
    <row r="11" ht="16.2" customHeight="1">
      <c r="B11" s="9" t="inlineStr">
        <is>
          <t>Approved by 批准</t>
        </is>
      </c>
      <c r="C11" s="9" t="n"/>
      <c r="D11" s="9" t="n"/>
      <c r="E11" s="11" t="inlineStr">
        <is>
          <t>待审批</t>
        </is>
      </c>
      <c r="F11" s="11" t="n"/>
      <c r="G11" s="9" t="inlineStr">
        <is>
          <t>Date 日期</t>
        </is>
      </c>
      <c r="H11" s="9" t="n"/>
      <c r="I11" s="9" t="n"/>
      <c r="J11" s="11" t="inlineStr">
        <is>
          <t xml:space="preserve"> </t>
        </is>
      </c>
      <c r="K11" s="11" t="n"/>
      <c r="L11" s="10" t="n"/>
    </row>
    <row r="12" ht="3.9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" customHeight="1">
      <c r="B13" s="9" t="inlineStr">
        <is>
          <t>Number of Test cases 测试用例数</t>
        </is>
      </c>
      <c r="C13" s="9" t="n"/>
      <c r="D13" s="9" t="n"/>
      <c r="E13" s="13">
        <f>COUNTA('Test Cases测试用例'!A2:A33)</f>
        <v/>
      </c>
      <c r="F13" s="10" t="n"/>
    </row>
    <row r="14" ht="3.9" customHeight="1">
      <c r="B14" s="12" t="n"/>
      <c r="C14" s="12" t="n"/>
      <c r="D14" s="12" t="n"/>
      <c r="E14" s="12" t="n"/>
    </row>
    <row r="15" ht="16.2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8.9" customHeight="1">
      <c r="B16" s="4" t="inlineStr">
        <is>
          <t>本批次采用传统测试方法，当前范围为模块 A 认证与访问控制、模块 B 跨链任务状态控制。</t>
        </is>
      </c>
      <c r="C16" s="14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0" t="n"/>
    </row>
    <row r="17" ht="3.9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" customHeight="1">
      <c r="B20" s="57" t="inlineStr">
        <is>
          <t>2026.09.13</t>
        </is>
      </c>
      <c r="C20" s="18" t="inlineStr">
        <is>
          <t>1.00</t>
        </is>
      </c>
      <c r="D20" s="11" t="inlineStr">
        <is>
          <t>STP-INIT</t>
        </is>
      </c>
      <c r="E20" s="11" t="inlineStr">
        <is>
          <t>建立 A+B 测试基线</t>
        </is>
      </c>
      <c r="F20" s="11" t="n"/>
      <c r="G20" s="11" t="n"/>
      <c r="H20" s="11" t="n"/>
      <c r="I20" s="11" t="n"/>
      <c r="J20" s="11" t="n"/>
      <c r="K20" s="11" t="inlineStr">
        <is>
          <t>ZhuJiacheng</t>
        </is>
      </c>
      <c r="L20" s="10" t="n"/>
    </row>
    <row r="21" ht="16.2" customHeight="1">
      <c r="B21" s="57" t="inlineStr">
        <is>
          <t>yyyy.mm.dd</t>
        </is>
      </c>
      <c r="C21" s="18" t="n">
        <v>1.01</v>
      </c>
      <c r="D21" s="11" t="inlineStr">
        <is>
          <t>xxx</t>
        </is>
      </c>
      <c r="E21" s="11" t="inlineStr">
        <is>
          <t>revised xxx 修改XXX Xxx Xxx ...</t>
        </is>
      </c>
      <c r="F21" s="11" t="n"/>
      <c r="G21" s="11" t="n"/>
      <c r="H21" s="11" t="n"/>
      <c r="I21" s="11" t="n"/>
      <c r="J21" s="11" t="n"/>
      <c r="K21" s="11" t="inlineStr">
        <is>
          <t>Name 作者名</t>
        </is>
      </c>
      <c r="L21" s="10" t="n"/>
    </row>
    <row r="22" ht="16.2" customHeight="1">
      <c r="B22" s="57" t="n"/>
      <c r="C22" s="18" t="n"/>
      <c r="D22" s="11" t="inlineStr">
        <is>
          <t>xxx</t>
        </is>
      </c>
      <c r="E22" s="11" t="inlineStr">
        <is>
          <t>revised xxx 修改XXX Xxx Xxx ...</t>
        </is>
      </c>
      <c r="F22" s="11" t="n"/>
      <c r="G22" s="11" t="n"/>
      <c r="H22" s="11" t="n"/>
      <c r="I22" s="11" t="n"/>
      <c r="J22" s="11" t="n"/>
      <c r="K22" s="11" t="inlineStr">
        <is>
          <t>Name 作者名</t>
        </is>
      </c>
      <c r="L22" s="10" t="n"/>
    </row>
    <row r="23" ht="16.2" customHeight="1">
      <c r="B23" s="57" t="inlineStr">
        <is>
          <t>yyyy.mm.dd</t>
        </is>
      </c>
      <c r="C23" s="18" t="n">
        <v>1.02</v>
      </c>
      <c r="D23" s="11" t="inlineStr">
        <is>
          <t>xxx</t>
        </is>
      </c>
      <c r="E23" s="11" t="inlineStr">
        <is>
          <t>revised xxx 修改XXX Xxx Xxx ...</t>
        </is>
      </c>
      <c r="F23" s="11" t="n"/>
      <c r="G23" s="11" t="n"/>
      <c r="H23" s="11" t="n"/>
      <c r="I23" s="11" t="n"/>
      <c r="J23" s="11" t="n"/>
      <c r="K23" s="11" t="inlineStr">
        <is>
          <t>Name 作者名</t>
        </is>
      </c>
      <c r="L23" s="10" t="n"/>
    </row>
    <row r="24" ht="16.2" customHeight="1">
      <c r="B24" s="57" t="inlineStr">
        <is>
          <t>……</t>
        </is>
      </c>
      <c r="C24" s="18" t="inlineStr">
        <is>
          <t>……</t>
        </is>
      </c>
      <c r="D24" s="58" t="inlineStr">
        <is>
          <t>……</t>
        </is>
      </c>
      <c r="E24" s="11" t="inlineStr">
        <is>
          <t>……</t>
        </is>
      </c>
      <c r="F24" s="11" t="n"/>
      <c r="G24" s="11" t="n"/>
      <c r="H24" s="11" t="n"/>
      <c r="I24" s="11" t="n"/>
      <c r="J24" s="11" t="n"/>
      <c r="K24" s="11" t="inlineStr">
        <is>
          <t>Name 作者名</t>
        </is>
      </c>
      <c r="L24" s="10" t="n"/>
    </row>
    <row r="25" ht="16.2" customHeight="1">
      <c r="B25" s="57" t="inlineStr">
        <is>
          <t>yyyy.mm.dd</t>
        </is>
      </c>
      <c r="C25" s="18" t="n">
        <v>2</v>
      </c>
      <c r="D25" s="11" t="inlineStr">
        <is>
          <t>xxx</t>
        </is>
      </c>
      <c r="E25" s="11" t="inlineStr">
        <is>
          <t>revised xxx 修改XXX Xxx Xxx ...</t>
        </is>
      </c>
      <c r="F25" s="11" t="n"/>
      <c r="G25" s="11" t="n"/>
      <c r="H25" s="11" t="n"/>
      <c r="I25" s="11" t="n"/>
      <c r="J25" s="11" t="n"/>
      <c r="K25" s="11" t="inlineStr">
        <is>
          <t>……</t>
        </is>
      </c>
      <c r="L25" s="10" t="n"/>
    </row>
    <row r="26" ht="3.9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57" t="inlineStr">
        <is>
          <t>yyyy.mm.dd</t>
        </is>
      </c>
      <c r="K29" s="57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57" t="inlineStr">
        <is>
          <t>yyyy.mm.dd</t>
        </is>
      </c>
      <c r="K30" s="57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57" t="inlineStr">
        <is>
          <t>yyyy.mm.dd</t>
        </is>
      </c>
      <c r="K31" s="57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57" t="inlineStr">
        <is>
          <t>yyyy.mm.dd</t>
        </is>
      </c>
      <c r="K32" s="57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59" t="inlineStr">
        <is>
          <t>yyyy.mm.dd</t>
        </is>
      </c>
      <c r="K33" s="60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61" t="n"/>
      <c r="K34" s="61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7" ht="15" customHeight="1">
      <c r="B37" s="62" t="inlineStr">
        <is>
          <t>测试结果分析</t>
        </is>
      </c>
      <c r="C37" s="63" t="n"/>
      <c r="D37" s="63" t="n"/>
      <c r="E37" s="64" t="n"/>
    </row>
    <row r="38" ht="16.2" customHeight="1">
      <c r="B38" s="28" t="inlineStr">
        <is>
          <t>OK项</t>
        </is>
      </c>
      <c r="C38" s="29">
        <f>IF($E$13=0,0,COUNTIF('Test Cases测试用例'!$L:$L,"=OK"))</f>
        <v/>
      </c>
      <c r="D38" s="28" t="inlineStr">
        <is>
          <t>OK率</t>
        </is>
      </c>
      <c r="E38" s="30">
        <f>IF(E13=0,0,C38/E13)</f>
        <v/>
      </c>
    </row>
    <row r="39" ht="16.2" customHeight="1">
      <c r="B39" s="28" t="inlineStr">
        <is>
          <t>POK项</t>
        </is>
      </c>
      <c r="C39" s="29">
        <f>IF($E$13=0,0,COUNTIF('Test Cases测试用例'!$L:$L,"=POK"))</f>
        <v/>
      </c>
      <c r="D39" s="28" t="inlineStr">
        <is>
          <t>POK率</t>
        </is>
      </c>
      <c r="E39" s="30">
        <f>IF(E13=0,0,C39/E13)</f>
        <v/>
      </c>
    </row>
    <row r="40" ht="16.2" customHeight="1">
      <c r="B40" s="28" t="inlineStr">
        <is>
          <t>NG项</t>
        </is>
      </c>
      <c r="C40" s="29">
        <f>IF($E$13=0,0,COUNTIF('Test Cases测试用例'!$L:$L,"=NG"))</f>
        <v/>
      </c>
      <c r="D40" s="28" t="inlineStr">
        <is>
          <t>NG率</t>
        </is>
      </c>
      <c r="E40" s="30">
        <f>IF(E13=0,0,C40/E13)</f>
        <v/>
      </c>
    </row>
    <row r="41" ht="16.2" customHeight="1">
      <c r="B41" s="31" t="inlineStr">
        <is>
          <t>NT项</t>
        </is>
      </c>
      <c r="C41" s="32">
        <f>IF($E$13=0,0,COUNTIF('Test Cases测试用例'!$L:$L,"=NT"))</f>
        <v/>
      </c>
      <c r="D41" s="31" t="inlineStr">
        <is>
          <t>NT率</t>
        </is>
      </c>
      <c r="E41" s="33">
        <f>IF(E13=0,0,C41/E13)</f>
        <v/>
      </c>
    </row>
    <row r="42" ht="3" customHeight="1">
      <c r="B42" s="34" t="n"/>
      <c r="C42" s="35" t="n"/>
      <c r="D42" s="36" t="n"/>
      <c r="E42" s="37" t="n"/>
    </row>
    <row r="43" ht="16.2" customHeight="1">
      <c r="B43" s="3" t="inlineStr">
        <is>
          <t>用例总个数</t>
        </is>
      </c>
      <c r="C43" s="65">
        <f>E13</f>
        <v/>
      </c>
      <c r="D43" s="66" t="n"/>
      <c r="E43" s="67" t="n"/>
    </row>
  </sheetData>
  <mergeCells count="2">
    <mergeCell ref="C43:E43"/>
    <mergeCell ref="B37:E37"/>
  </mergeCells>
  <pageMargins left="0.5" right="0.5" top="0.5" bottom="0.5" header="0" footer="0"/>
  <pageSetup orientation="portrait" paperSize="9" horizont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pane ySplit="1" topLeftCell="A2" activePane="bottomLeft" state="frozen"/>
      <selection pane="bottomLeft" activeCell="B2" sqref="B2"/>
    </sheetView>
  </sheetViews>
  <sheetFormatPr baseColWidth="8" defaultColWidth="11.6328125" defaultRowHeight="15.6"/>
  <cols>
    <col width="15.36328125" customWidth="1" style="44" min="1" max="1"/>
    <col width="16.54296875" customWidth="1" style="44" min="2" max="2"/>
    <col width="26.81640625" customWidth="1" style="44" min="3" max="3"/>
    <col width="21" customWidth="1" style="44" min="4" max="4"/>
    <col hidden="1" width="13.90625" customWidth="1" style="44" min="5" max="5"/>
    <col hidden="1" width="8.90625" customWidth="1" style="44" min="6" max="6"/>
    <col width="21.1796875" customWidth="1" style="44" min="7" max="7"/>
    <col width="12.81640625" customWidth="1" style="44" min="8" max="8"/>
    <col width="14.453125" customWidth="1" style="44" min="9" max="9"/>
    <col width="16.453125" customWidth="1" style="44" min="10" max="10"/>
    <col width="11.81640625" customWidth="1" style="44" min="11" max="11"/>
    <col width="11" customWidth="1" style="44" min="12" max="12"/>
    <col width="20.90625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50" t="inlineStr">
        <is>
          <t>是否自动用例</t>
        </is>
      </c>
      <c r="F1" s="50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 ht="58" customHeight="1">
      <c r="A2" s="68" t="inlineStr">
        <is>
          <t>A-001</t>
        </is>
      </c>
      <c r="B2" s="68" t="inlineStr">
        <is>
          <t>认证-JWT</t>
        </is>
      </c>
      <c r="C2" s="68" t="inlineStr">
        <is>
          <t>签发并解析有效 JWT</t>
        </is>
      </c>
      <c r="D2" s="68" t="inlineStr">
        <is>
          <t>High</t>
        </is>
      </c>
      <c r="E2" s="68" t="inlineStr">
        <is>
          <t>Y</t>
        </is>
      </c>
      <c r="F2" s="68" t="inlineStr">
        <is>
          <t>N</t>
        </is>
      </c>
      <c r="G2" s="68" t="inlineStr">
        <is>
          <t>JwtService 使用 test-secret，系统时间有效</t>
        </is>
      </c>
      <c r="H2" s="68" t="inlineStr">
        <is>
          <t>userId=7，username=alice，role=ADMIN</t>
        </is>
      </c>
      <c r="I2" s="68" t="inlineStr">
        <is>
          <t>调用 issue 生成 token，再调用 parse</t>
        </is>
      </c>
      <c r="J2" s="68" t="inlineStr">
        <is>
          <t>解析成功且三项用户声明与输入一致</t>
        </is>
      </c>
      <c r="K2" s="68" t="inlineStr">
        <is>
          <t>与预期一致，自动化测试通过</t>
        </is>
      </c>
      <c r="L2" s="68" t="inlineStr">
        <is>
          <t>OK</t>
        </is>
      </c>
      <c r="M2" s="68" t="inlineStr">
        <is>
          <t>等价类</t>
        </is>
      </c>
      <c r="N2" s="43" t="inlineStr">
        <is>
          <t>OK</t>
        </is>
      </c>
    </row>
    <row r="3" ht="58" customHeight="1">
      <c r="A3" s="68" t="inlineStr">
        <is>
          <t>A-002</t>
        </is>
      </c>
      <c r="B3" s="68" t="inlineStr">
        <is>
          <t>认证-JWT</t>
        </is>
      </c>
      <c r="C3" s="68" t="inlineStr">
        <is>
          <t>签名被修改的 JWT 被拒绝</t>
        </is>
      </c>
      <c r="D3" s="68" t="inlineStr">
        <is>
          <t>High</t>
        </is>
      </c>
      <c r="E3" s="68" t="inlineStr">
        <is>
          <t>Y</t>
        </is>
      </c>
      <c r="F3" s="68" t="inlineStr">
        <is>
          <t>N</t>
        </is>
      </c>
      <c r="G3" s="68" t="inlineStr">
        <is>
          <t>已获得一个有效 JWT</t>
        </is>
      </c>
      <c r="H3" s="68" t="inlineStr">
        <is>
          <t>将 token 最后一位替换为其他字符</t>
        </is>
      </c>
      <c r="I3" s="68" t="inlineStr">
        <is>
          <t>调用 parse 解析篡改 token</t>
        </is>
      </c>
      <c r="J3" s="68" t="inlineStr">
        <is>
          <t>返回空 Optional，不建立身份</t>
        </is>
      </c>
      <c r="K3" s="68" t="inlineStr">
        <is>
          <t>与预期一致，自动化测试通过</t>
        </is>
      </c>
      <c r="L3" s="68" t="inlineStr">
        <is>
          <t>OK</t>
        </is>
      </c>
      <c r="M3" s="68" t="inlineStr">
        <is>
          <t>等价类</t>
        </is>
      </c>
      <c r="N3" s="43" t="inlineStr">
        <is>
          <t>POK</t>
        </is>
      </c>
    </row>
    <row r="4" ht="58" customHeight="1">
      <c r="A4" s="68" t="inlineStr">
        <is>
          <t>A-003</t>
        </is>
      </c>
      <c r="B4" s="68" t="inlineStr">
        <is>
          <t>认证-JWT</t>
        </is>
      </c>
      <c r="C4" s="68" t="inlineStr">
        <is>
          <t>已过期 JWT 被拒绝</t>
        </is>
      </c>
      <c r="D4" s="68" t="inlineStr">
        <is>
          <t>High</t>
        </is>
      </c>
      <c r="E4" s="68" t="inlineStr">
        <is>
          <t>Y</t>
        </is>
      </c>
      <c r="F4" s="68" t="inlineStr">
        <is>
          <t>N</t>
        </is>
      </c>
      <c r="G4" s="68" t="inlineStr">
        <is>
          <t>JwtService 过期时间设置为 -1 分钟</t>
        </is>
      </c>
      <c r="H4" s="68" t="inlineStr">
        <is>
          <t>刚签发的 token</t>
        </is>
      </c>
      <c r="I4" s="68" t="inlineStr">
        <is>
          <t>调用 parse</t>
        </is>
      </c>
      <c r="J4" s="68" t="inlineStr">
        <is>
          <t>返回空 Optional</t>
        </is>
      </c>
      <c r="K4" s="68" t="inlineStr">
        <is>
          <t>与预期一致，自动化测试通过</t>
        </is>
      </c>
      <c r="L4" s="68" t="inlineStr">
        <is>
          <t>OK</t>
        </is>
      </c>
      <c r="M4" s="68" t="inlineStr">
        <is>
          <t>边界值</t>
        </is>
      </c>
      <c r="N4" s="43" t="inlineStr">
        <is>
          <t>NG</t>
        </is>
      </c>
    </row>
    <row r="5" ht="58" customHeight="1">
      <c r="A5" s="68" t="inlineStr">
        <is>
          <t>A-004</t>
        </is>
      </c>
      <c r="B5" s="68" t="inlineStr">
        <is>
          <t>认证-JWT</t>
        </is>
      </c>
      <c r="C5" s="68" t="inlineStr">
        <is>
          <t>空字符串 token 被拒绝</t>
        </is>
      </c>
      <c r="D5" s="68" t="inlineStr">
        <is>
          <t>High</t>
        </is>
      </c>
      <c r="E5" s="68" t="inlineStr">
        <is>
          <t>Y</t>
        </is>
      </c>
      <c r="F5" s="68" t="inlineStr">
        <is>
          <t>N</t>
        </is>
      </c>
      <c r="G5" s="68" t="inlineStr">
        <is>
          <t>JwtService 可用</t>
        </is>
      </c>
      <c r="H5" s="68" t="inlineStr">
        <is>
          <t>token=空字符串</t>
        </is>
      </c>
      <c r="I5" s="68" t="inlineStr">
        <is>
          <t>调用 parse</t>
        </is>
      </c>
      <c r="J5" s="68" t="inlineStr">
        <is>
          <t>返回空 Optional</t>
        </is>
      </c>
      <c r="K5" s="68" t="inlineStr">
        <is>
          <t>与预期一致，自动化测试通过</t>
        </is>
      </c>
      <c r="L5" s="68" t="inlineStr">
        <is>
          <t>OK</t>
        </is>
      </c>
      <c r="M5" s="68" t="inlineStr">
        <is>
          <t>等价类</t>
        </is>
      </c>
      <c r="N5" s="43" t="inlineStr">
        <is>
          <t>NT</t>
        </is>
      </c>
    </row>
    <row r="6" ht="58" customHeight="1">
      <c r="A6" s="68" t="inlineStr">
        <is>
          <t>A-005</t>
        </is>
      </c>
      <c r="B6" s="68" t="inlineStr">
        <is>
          <t>认证-JWT</t>
        </is>
      </c>
      <c r="C6" s="68" t="inlineStr">
        <is>
          <t>无分隔符 token 被拒绝</t>
        </is>
      </c>
      <c r="D6" s="68" t="inlineStr">
        <is>
          <t>High</t>
        </is>
      </c>
      <c r="E6" s="68" t="inlineStr">
        <is>
          <t>Y</t>
        </is>
      </c>
      <c r="F6" s="68" t="inlineStr">
        <is>
          <t>N</t>
        </is>
      </c>
      <c r="G6" s="68" t="inlineStr">
        <is>
          <t>JwtService 可用</t>
        </is>
      </c>
      <c r="H6" s="68" t="inlineStr">
        <is>
          <t>token=abc</t>
        </is>
      </c>
      <c r="I6" s="68" t="inlineStr">
        <is>
          <t>调用 parse</t>
        </is>
      </c>
      <c r="J6" s="68" t="inlineStr">
        <is>
          <t>返回空 Optional</t>
        </is>
      </c>
      <c r="K6" s="68" t="inlineStr">
        <is>
          <t>与预期一致，自动化测试通过</t>
        </is>
      </c>
      <c r="L6" s="68" t="inlineStr">
        <is>
          <t>OK</t>
        </is>
      </c>
      <c r="M6" s="68" t="inlineStr">
        <is>
          <t>等价类</t>
        </is>
      </c>
      <c r="N6" s="43" t="n"/>
    </row>
    <row r="7" ht="58" customHeight="1">
      <c r="A7" s="68" t="inlineStr">
        <is>
          <t>A-006</t>
        </is>
      </c>
      <c r="B7" s="68" t="inlineStr">
        <is>
          <t>认证-JWT</t>
        </is>
      </c>
      <c r="C7" s="68" t="inlineStr">
        <is>
          <t>三段式但签名结构错误的 token 被拒绝</t>
        </is>
      </c>
      <c r="D7" s="68" t="inlineStr">
        <is>
          <t>High</t>
        </is>
      </c>
      <c r="E7" s="68" t="inlineStr">
        <is>
          <t>Y</t>
        </is>
      </c>
      <c r="F7" s="68" t="inlineStr">
        <is>
          <t>N</t>
        </is>
      </c>
      <c r="G7" s="68" t="inlineStr">
        <is>
          <t>JwtService 可用</t>
        </is>
      </c>
      <c r="H7" s="68" t="inlineStr">
        <is>
          <t>token=a.b.c</t>
        </is>
      </c>
      <c r="I7" s="68" t="inlineStr">
        <is>
          <t>调用 parse</t>
        </is>
      </c>
      <c r="J7" s="68" t="inlineStr">
        <is>
          <t>返回空 Optional</t>
        </is>
      </c>
      <c r="K7" s="68" t="inlineStr">
        <is>
          <t>与预期一致，自动化测试通过</t>
        </is>
      </c>
      <c r="L7" s="68" t="inlineStr">
        <is>
          <t>OK</t>
        </is>
      </c>
      <c r="M7" s="68" t="inlineStr">
        <is>
          <t>等价类</t>
        </is>
      </c>
      <c r="N7" s="43" t="n"/>
    </row>
    <row r="8" ht="58" customHeight="1">
      <c r="A8" s="68" t="inlineStr">
        <is>
          <t>A-007</t>
        </is>
      </c>
      <c r="B8" s="68" t="inlineStr">
        <is>
          <t>认证-JWT</t>
        </is>
      </c>
      <c r="C8" s="68" t="inlineStr">
        <is>
          <t>非法 Base64 token 被拒绝</t>
        </is>
      </c>
      <c r="D8" s="68" t="inlineStr">
        <is>
          <t>High</t>
        </is>
      </c>
      <c r="E8" s="68" t="inlineStr">
        <is>
          <t>Y</t>
        </is>
      </c>
      <c r="F8" s="68" t="inlineStr">
        <is>
          <t>N</t>
        </is>
      </c>
      <c r="G8" s="68" t="inlineStr">
        <is>
          <t>JwtService 可用</t>
        </is>
      </c>
      <c r="H8" s="68" t="inlineStr">
        <is>
          <t>token=%%%.___</t>
        </is>
      </c>
      <c r="I8" s="68" t="inlineStr">
        <is>
          <t>调用 parse</t>
        </is>
      </c>
      <c r="J8" s="68" t="inlineStr">
        <is>
          <t>返回空 Optional</t>
        </is>
      </c>
      <c r="K8" s="68" t="inlineStr">
        <is>
          <t>与预期一致，自动化测试通过</t>
        </is>
      </c>
      <c r="L8" s="68" t="inlineStr">
        <is>
          <t>OK</t>
        </is>
      </c>
      <c r="M8" s="68" t="inlineStr">
        <is>
          <t>等价类</t>
        </is>
      </c>
      <c r="N8" s="43" t="n"/>
    </row>
    <row r="9" ht="58" customHeight="1">
      <c r="A9" s="68" t="inlineStr">
        <is>
          <t>A-008</t>
        </is>
      </c>
      <c r="B9" s="68" t="inlineStr">
        <is>
          <t>认证-JWT</t>
        </is>
      </c>
      <c r="C9" s="68" t="inlineStr">
        <is>
          <t>末尾分隔符 token 被拒绝</t>
        </is>
      </c>
      <c r="D9" s="68" t="inlineStr">
        <is>
          <t>High</t>
        </is>
      </c>
      <c r="E9" s="68" t="inlineStr">
        <is>
          <t>Y</t>
        </is>
      </c>
      <c r="F9" s="68" t="inlineStr">
        <is>
          <t>N</t>
        </is>
      </c>
      <c r="G9" s="68" t="inlineStr">
        <is>
          <t>JwtService 可用</t>
        </is>
      </c>
      <c r="H9" s="68" t="inlineStr">
        <is>
          <t>token=a.</t>
        </is>
      </c>
      <c r="I9" s="68" t="inlineStr">
        <is>
          <t>调用 parse</t>
        </is>
      </c>
      <c r="J9" s="68" t="inlineStr">
        <is>
          <t>返回空 Optional</t>
        </is>
      </c>
      <c r="K9" s="68" t="inlineStr">
        <is>
          <t>与预期一致，自动化测试通过</t>
        </is>
      </c>
      <c r="L9" s="68" t="inlineStr">
        <is>
          <t>OK</t>
        </is>
      </c>
      <c r="M9" s="68" t="inlineStr">
        <is>
          <t>等价类</t>
        </is>
      </c>
      <c r="N9" s="43" t="n"/>
    </row>
    <row r="10" ht="58" customHeight="1">
      <c r="A10" s="68" t="inlineStr">
        <is>
          <t>A-009</t>
        </is>
      </c>
      <c r="B10" s="68" t="inlineStr">
        <is>
          <t>认证-过滤器</t>
        </is>
      </c>
      <c r="C10" s="68" t="inlineStr">
        <is>
          <t>有效 Bearer token 建立管理员身份</t>
        </is>
      </c>
      <c r="D10" s="68" t="inlineStr">
        <is>
          <t>High</t>
        </is>
      </c>
      <c r="E10" s="68" t="inlineStr">
        <is>
          <t>Y</t>
        </is>
      </c>
      <c r="F10" s="68" t="inlineStr">
        <is>
          <t>N</t>
        </is>
      </c>
      <c r="G10" s="68" t="inlineStr">
        <is>
          <t>JwtAuthenticationFilter 使用有效 JwtService</t>
        </is>
      </c>
      <c r="H10" s="68" t="inlineStr">
        <is>
          <t>Authorization=Bearer + 有效 ADMIN token</t>
        </is>
      </c>
      <c r="I10" s="68" t="inlineStr">
        <is>
          <t>通过过滤器执行请求</t>
        </is>
      </c>
      <c r="J10" s="68" t="inlineStr">
        <is>
          <t>SecurityContext 中 principal 为 JwtUser，权限为 ROLE_ADMIN，且继续过滤链</t>
        </is>
      </c>
      <c r="K10" s="68" t="inlineStr">
        <is>
          <t>与预期一致，自动化测试通过</t>
        </is>
      </c>
      <c r="L10" s="68" t="inlineStr">
        <is>
          <t>OK</t>
        </is>
      </c>
      <c r="M10" s="68" t="inlineStr">
        <is>
          <t>场景法</t>
        </is>
      </c>
      <c r="N10" s="43" t="n"/>
    </row>
    <row r="11" ht="58" customHeight="1">
      <c r="A11" s="68" t="inlineStr">
        <is>
          <t>A-010</t>
        </is>
      </c>
      <c r="B11" s="68" t="inlineStr">
        <is>
          <t>认证-过滤器</t>
        </is>
      </c>
      <c r="C11" s="68" t="inlineStr">
        <is>
          <t>过期 Bearer token 不建立身份</t>
        </is>
      </c>
      <c r="D11" s="68" t="inlineStr">
        <is>
          <t>High</t>
        </is>
      </c>
      <c r="E11" s="68" t="inlineStr">
        <is>
          <t>Y</t>
        </is>
      </c>
      <c r="F11" s="68" t="inlineStr">
        <is>
          <t>N</t>
        </is>
      </c>
      <c r="G11" s="68" t="inlineStr">
        <is>
          <t>过滤器使用过期 JwtService</t>
        </is>
      </c>
      <c r="H11" s="68" t="inlineStr">
        <is>
          <t>Authorization=Bearer + 过期 token</t>
        </is>
      </c>
      <c r="I11" s="68" t="inlineStr">
        <is>
          <t>通过过滤器执行请求</t>
        </is>
      </c>
      <c r="J11" s="68" t="inlineStr">
        <is>
          <t>SecurityContext 无认证，但请求继续过滤链</t>
        </is>
      </c>
      <c r="K11" s="68" t="inlineStr">
        <is>
          <t>与预期一致，自动化测试通过</t>
        </is>
      </c>
      <c r="L11" s="68" t="inlineStr">
        <is>
          <t>OK</t>
        </is>
      </c>
      <c r="M11" s="68" t="inlineStr">
        <is>
          <t>等价类</t>
        </is>
      </c>
      <c r="N11" s="43" t="n"/>
    </row>
    <row r="12" ht="58" customHeight="1">
      <c r="A12" s="68" t="inlineStr">
        <is>
          <t>A-011</t>
        </is>
      </c>
      <c r="B12" s="68" t="inlineStr">
        <is>
          <t>认证-过滤器</t>
        </is>
      </c>
      <c r="C12" s="68" t="inlineStr">
        <is>
          <t>非 Bearer Authorization 被忽略</t>
        </is>
      </c>
      <c r="D12" s="68" t="inlineStr">
        <is>
          <t>Medium</t>
        </is>
      </c>
      <c r="E12" s="68" t="inlineStr">
        <is>
          <t>Y</t>
        </is>
      </c>
      <c r="F12" s="68" t="inlineStr">
        <is>
          <t>N</t>
        </is>
      </c>
      <c r="G12" s="68" t="inlineStr">
        <is>
          <t>过滤器可用</t>
        </is>
      </c>
      <c r="H12" s="68" t="inlineStr">
        <is>
          <t>Authorization=Basic abc</t>
        </is>
      </c>
      <c r="I12" s="68" t="inlineStr">
        <is>
          <t>通过过滤器执行请求</t>
        </is>
      </c>
      <c r="J12" s="68" t="inlineStr">
        <is>
          <t>不解析 token，SecurityContext 无认证，请求继续</t>
        </is>
      </c>
      <c r="K12" s="68" t="inlineStr">
        <is>
          <t>与预期一致，自动化测试通过</t>
        </is>
      </c>
      <c r="L12" s="68" t="inlineStr">
        <is>
          <t>OK</t>
        </is>
      </c>
      <c r="M12" s="68" t="inlineStr">
        <is>
          <t>等价类</t>
        </is>
      </c>
      <c r="N12" s="43" t="n"/>
    </row>
    <row r="13" ht="58" customHeight="1">
      <c r="A13" s="68" t="inlineStr">
        <is>
          <t>A-012</t>
        </is>
      </c>
      <c r="B13" s="68" t="inlineStr">
        <is>
          <t>认证-过滤器</t>
        </is>
      </c>
      <c r="C13" s="68" t="inlineStr">
        <is>
          <t>格式错误 Bearer token 被忽略</t>
        </is>
      </c>
      <c r="D13" s="68" t="inlineStr">
        <is>
          <t>High</t>
        </is>
      </c>
      <c r="E13" s="68" t="inlineStr">
        <is>
          <t>Y</t>
        </is>
      </c>
      <c r="F13" s="68" t="inlineStr">
        <is>
          <t>N</t>
        </is>
      </c>
      <c r="G13" s="68" t="inlineStr">
        <is>
          <t>过滤器可用</t>
        </is>
      </c>
      <c r="H13" s="68" t="inlineStr">
        <is>
          <t>Authorization=Bearer malformed-token</t>
        </is>
      </c>
      <c r="I13" s="68" t="inlineStr">
        <is>
          <t>通过过滤器执行请求</t>
        </is>
      </c>
      <c r="J13" s="68" t="inlineStr">
        <is>
          <t>不建立身份，请求继续过滤链</t>
        </is>
      </c>
      <c r="K13" s="68" t="inlineStr">
        <is>
          <t>与预期一致，自动化测试通过</t>
        </is>
      </c>
      <c r="L13" s="68" t="inlineStr">
        <is>
          <t>OK</t>
        </is>
      </c>
      <c r="M13" s="68" t="inlineStr">
        <is>
          <t>等价类</t>
        </is>
      </c>
      <c r="N13" s="43" t="n"/>
    </row>
    <row r="14" ht="58" customHeight="1">
      <c r="A14" s="68" t="inlineStr">
        <is>
          <t>A-013</t>
        </is>
      </c>
      <c r="B14" s="68" t="inlineStr">
        <is>
          <t>认证-登录</t>
        </is>
      </c>
      <c r="C14" s="68" t="inlineStr">
        <is>
          <t>正确用户名密码登录成功</t>
        </is>
      </c>
      <c r="D14" s="68" t="inlineStr">
        <is>
          <t>High</t>
        </is>
      </c>
      <c r="E14" s="68" t="inlineStr">
        <is>
          <t>Y</t>
        </is>
      </c>
      <c r="F14" s="68" t="inlineStr">
        <is>
          <t>N</t>
        </is>
      </c>
      <c r="G14" s="68" t="inlineStr">
        <is>
          <t>数据库返回 alice，密码哈希匹配</t>
        </is>
      </c>
      <c r="H14" s="68" t="inlineStr">
        <is>
          <t>alice/correct-password</t>
        </is>
      </c>
      <c r="I14" s="68" t="inlineStr">
        <is>
          <t>调用 AuthService.login</t>
        </is>
      </c>
      <c r="J14" s="68" t="inlineStr">
        <is>
          <t>返回用户信息和 JWT，角色与组织信息正确</t>
        </is>
      </c>
      <c r="K14" s="68" t="inlineStr">
        <is>
          <t>与预期一致，自动化测试通过</t>
        </is>
      </c>
      <c r="L14" s="68" t="inlineStr">
        <is>
          <t>OK</t>
        </is>
      </c>
      <c r="M14" s="68" t="inlineStr">
        <is>
          <t>场景法</t>
        </is>
      </c>
      <c r="N14" s="43" t="n"/>
    </row>
    <row r="15" ht="58" customHeight="1">
      <c r="A15" s="68" t="inlineStr">
        <is>
          <t>A-014</t>
        </is>
      </c>
      <c r="B15" s="68" t="inlineStr">
        <is>
          <t>认证-登录</t>
        </is>
      </c>
      <c r="C15" s="68" t="inlineStr">
        <is>
          <t>不存在用户名登录失败</t>
        </is>
      </c>
      <c r="D15" s="68" t="inlineStr">
        <is>
          <t>High</t>
        </is>
      </c>
      <c r="E15" s="68" t="inlineStr">
        <is>
          <t>Y</t>
        </is>
      </c>
      <c r="F15" s="68" t="inlineStr">
        <is>
          <t>N</t>
        </is>
      </c>
      <c r="G15" s="68" t="inlineStr">
        <is>
          <t>数据库查不到 unknown</t>
        </is>
      </c>
      <c r="H15" s="68" t="inlineStr">
        <is>
          <t>unknown/password</t>
        </is>
      </c>
      <c r="I15" s="68" t="inlineStr">
        <is>
          <t>调用 AuthService.login</t>
        </is>
      </c>
      <c r="J15" s="68" t="inlineStr">
        <is>
          <t>抛出统一的用户名或密码错误，不签发 JWT</t>
        </is>
      </c>
      <c r="K15" s="68" t="inlineStr">
        <is>
          <t>与预期一致，自动化测试通过</t>
        </is>
      </c>
      <c r="L15" s="68" t="inlineStr">
        <is>
          <t>OK</t>
        </is>
      </c>
      <c r="M15" s="68" t="inlineStr">
        <is>
          <t>等价类</t>
        </is>
      </c>
      <c r="N15" s="43" t="n"/>
    </row>
    <row r="16" ht="58" customHeight="1">
      <c r="A16" s="68" t="inlineStr">
        <is>
          <t>A-015</t>
        </is>
      </c>
      <c r="B16" s="68" t="inlineStr">
        <is>
          <t>认证-登录</t>
        </is>
      </c>
      <c r="C16" s="68" t="inlineStr">
        <is>
          <t>错误密码登录失败</t>
        </is>
      </c>
      <c r="D16" s="68" t="inlineStr">
        <is>
          <t>High</t>
        </is>
      </c>
      <c r="E16" s="68" t="inlineStr">
        <is>
          <t>Y</t>
        </is>
      </c>
      <c r="F16" s="68" t="inlineStr">
        <is>
          <t>N</t>
        </is>
      </c>
      <c r="G16" s="68" t="inlineStr">
        <is>
          <t>数据库存在 alice，密码哈希不匹配</t>
        </is>
      </c>
      <c r="H16" s="68" t="inlineStr">
        <is>
          <t>alice/wrong-password</t>
        </is>
      </c>
      <c r="I16" s="68" t="inlineStr">
        <is>
          <t>调用 AuthService.login</t>
        </is>
      </c>
      <c r="J16" s="68" t="inlineStr">
        <is>
          <t>抛出统一的用户名或密码错误，不签发 JWT</t>
        </is>
      </c>
      <c r="K16" s="68" t="inlineStr">
        <is>
          <t>与预期一致，自动化测试通过</t>
        </is>
      </c>
      <c r="L16" s="68" t="inlineStr">
        <is>
          <t>OK</t>
        </is>
      </c>
      <c r="M16" s="68" t="inlineStr">
        <is>
          <t>等价类</t>
        </is>
      </c>
      <c r="N16" s="43" t="n"/>
    </row>
    <row r="17" ht="58" customHeight="1">
      <c r="A17" s="68" t="inlineStr">
        <is>
          <t>A-016</t>
        </is>
      </c>
      <c r="B17" s="68" t="inlineStr">
        <is>
          <t>访问控制</t>
        </is>
      </c>
      <c r="C17" s="68" t="inlineStr">
        <is>
          <t>管理员可创建任意运单</t>
        </is>
      </c>
      <c r="D17" s="68" t="inlineStr">
        <is>
          <t>High</t>
        </is>
      </c>
      <c r="E17" s="68" t="inlineStr">
        <is>
          <t>Y</t>
        </is>
      </c>
      <c r="F17" s="68" t="inlineStr">
        <is>
          <t>N</t>
        </is>
      </c>
      <c r="G17" s="68" t="inlineStr">
        <is>
          <t>用户角色为 ADMIN</t>
        </is>
      </c>
      <c r="H17" s="68" t="inlineStr">
        <is>
          <t>任意组织运单记录</t>
        </is>
      </c>
      <c r="I17" s="68" t="inlineStr">
        <is>
          <t>调用 requireCanCreateWaybill</t>
        </is>
      </c>
      <c r="J17" s="68" t="inlineStr">
        <is>
          <t>不抛出 AccessDeniedException</t>
        </is>
      </c>
      <c r="K17" s="68" t="inlineStr">
        <is>
          <t>与预期一致，自动化测试通过</t>
        </is>
      </c>
      <c r="L17" s="68" t="inlineStr">
        <is>
          <t>OK</t>
        </is>
      </c>
      <c r="M17" s="68" t="inlineStr">
        <is>
          <t>等价类</t>
        </is>
      </c>
      <c r="N17" s="43" t="n"/>
    </row>
    <row r="18" ht="58" customHeight="1">
      <c r="A18" s="68" t="inlineStr">
        <is>
          <t>A-017</t>
        </is>
      </c>
      <c r="B18" s="68" t="inlineStr">
        <is>
          <t>访问控制</t>
        </is>
      </c>
      <c r="C18" s="68" t="inlineStr">
        <is>
          <t>托运人可创建本组织运单</t>
        </is>
      </c>
      <c r="D18" s="68" t="inlineStr">
        <is>
          <t>High</t>
        </is>
      </c>
      <c r="E18" s="68" t="inlineStr">
        <is>
          <t>Y</t>
        </is>
      </c>
      <c r="F18" s="68" t="inlineStr">
        <is>
          <t>N</t>
        </is>
      </c>
      <c r="G18" s="68" t="inlineStr">
        <is>
          <t>用户角色 CONSIGNOR，组织 10；运单托运人组织 10</t>
        </is>
      </c>
      <c r="H18" s="68" t="inlineStr">
        <is>
          <t>组织匹配的运单</t>
        </is>
      </c>
      <c r="I18" s="68" t="inlineStr">
        <is>
          <t>调用 requireCanCreateWaybill</t>
        </is>
      </c>
      <c r="J18" s="68" t="inlineStr">
        <is>
          <t>不抛出 AccessDeniedException</t>
        </is>
      </c>
      <c r="K18" s="68" t="inlineStr">
        <is>
          <t>与预期一致，自动化测试通过</t>
        </is>
      </c>
      <c r="L18" s="68" t="inlineStr">
        <is>
          <t>OK</t>
        </is>
      </c>
      <c r="M18" s="68" t="inlineStr">
        <is>
          <t>等价类</t>
        </is>
      </c>
      <c r="N18" s="43" t="n"/>
    </row>
    <row r="19" ht="58" customHeight="1">
      <c r="A19" s="68" t="inlineStr">
        <is>
          <t>A-018</t>
        </is>
      </c>
      <c r="B19" s="68" t="inlineStr">
        <is>
          <t>访问控制</t>
        </is>
      </c>
      <c r="C19" s="68" t="inlineStr">
        <is>
          <t>托运人不能创建他组织运单</t>
        </is>
      </c>
      <c r="D19" s="68" t="inlineStr">
        <is>
          <t>High</t>
        </is>
      </c>
      <c r="E19" s="68" t="inlineStr">
        <is>
          <t>Y</t>
        </is>
      </c>
      <c r="F19" s="68" t="inlineStr">
        <is>
          <t>N</t>
        </is>
      </c>
      <c r="G19" s="68" t="inlineStr">
        <is>
          <t>用户角色 CONSIGNOR，组织 99；运单托运人组织 10</t>
        </is>
      </c>
      <c r="H19" s="68" t="inlineStr">
        <is>
          <t>组织不匹配的运单</t>
        </is>
      </c>
      <c r="I19" s="68" t="inlineStr">
        <is>
          <t>调用 requireCanCreateWaybill</t>
        </is>
      </c>
      <c r="J19" s="68" t="inlineStr">
        <is>
          <t>抛出 AccessDeniedException</t>
        </is>
      </c>
      <c r="K19" s="68" t="inlineStr">
        <is>
          <t>与预期一致，自动化测试通过</t>
        </is>
      </c>
      <c r="L19" s="68" t="inlineStr">
        <is>
          <t>OK</t>
        </is>
      </c>
      <c r="M19" s="68" t="inlineStr">
        <is>
          <t>等价类</t>
        </is>
      </c>
      <c r="N19" s="43" t="n"/>
    </row>
    <row r="20" ht="58" customHeight="1">
      <c r="A20" s="68" t="inlineStr">
        <is>
          <t>A-019</t>
        </is>
      </c>
      <c r="B20" s="68" t="inlineStr">
        <is>
          <t>访问控制</t>
        </is>
      </c>
      <c r="C20" s="68" t="inlineStr">
        <is>
          <t>跨链网关不能查看普通运单</t>
        </is>
      </c>
      <c r="D20" s="68" t="inlineStr">
        <is>
          <t>High</t>
        </is>
      </c>
      <c r="E20" s="68" t="inlineStr">
        <is>
          <t>Y</t>
        </is>
      </c>
      <c r="F20" s="68" t="inlineStr">
        <is>
          <t>N</t>
        </is>
      </c>
      <c r="G20" s="68" t="inlineStr">
        <is>
          <t>用户角色 CROSS_CHAIN_GATEWAY，待过滤运单列表非空</t>
        </is>
      </c>
      <c r="H20" s="68" t="inlineStr">
        <is>
          <t>包含普通运单的列表</t>
        </is>
      </c>
      <c r="I20" s="68" t="inlineStr">
        <is>
          <t>调用 filterVisibleWaybills</t>
        </is>
      </c>
      <c r="J20" s="68" t="inlineStr">
        <is>
          <t>返回空列表</t>
        </is>
      </c>
      <c r="K20" s="68" t="inlineStr">
        <is>
          <t>与预期一致，自动化测试通过</t>
        </is>
      </c>
      <c r="L20" s="68" t="inlineStr">
        <is>
          <t>OK</t>
        </is>
      </c>
      <c r="M20" s="68" t="inlineStr">
        <is>
          <t>等价类</t>
        </is>
      </c>
      <c r="N20" s="43" t="n"/>
    </row>
    <row r="21" ht="58" customHeight="1">
      <c r="A21" s="68" t="inlineStr">
        <is>
          <t>A-020</t>
        </is>
      </c>
      <c r="B21" s="68" t="inlineStr">
        <is>
          <t>访问控制</t>
        </is>
      </c>
      <c r="C21" s="68" t="inlineStr">
        <is>
          <t>上传者可下载自己的文件</t>
        </is>
      </c>
      <c r="D21" s="68" t="inlineStr">
        <is>
          <t>High</t>
        </is>
      </c>
      <c r="E21" s="68" t="inlineStr">
        <is>
          <t>Y</t>
        </is>
      </c>
      <c r="F21" s="68" t="inlineStr">
        <is>
          <t>N</t>
        </is>
      </c>
      <c r="G21" s="68" t="inlineStr">
        <is>
          <t>文件 uploaderId 与用户 id 相同</t>
        </is>
      </c>
      <c r="H21" s="68" t="inlineStr">
        <is>
          <t>uploaderId=7，userId=7</t>
        </is>
      </c>
      <c r="I21" s="68" t="inlineStr">
        <is>
          <t>调用 canDownload</t>
        </is>
      </c>
      <c r="J21" s="68" t="inlineStr">
        <is>
          <t>返回 true</t>
        </is>
      </c>
      <c r="K21" s="68" t="inlineStr">
        <is>
          <t>与预期一致，自动化测试通过</t>
        </is>
      </c>
      <c r="L21" s="68" t="inlineStr">
        <is>
          <t>OK</t>
        </is>
      </c>
      <c r="M21" s="68" t="inlineStr">
        <is>
          <t>等价类</t>
        </is>
      </c>
      <c r="N21" s="43" t="n"/>
    </row>
    <row r="22" ht="58" customHeight="1">
      <c r="A22" s="68" t="inlineStr">
        <is>
          <t>A-021</t>
        </is>
      </c>
      <c r="B22" s="68" t="inlineStr">
        <is>
          <t>访问控制</t>
        </is>
      </c>
      <c r="C22" s="68" t="inlineStr">
        <is>
          <t>无有效授权的他人不能下载文件</t>
        </is>
      </c>
      <c r="D22" s="68" t="inlineStr">
        <is>
          <t>High</t>
        </is>
      </c>
      <c r="E22" s="68" t="inlineStr">
        <is>
          <t>Y</t>
        </is>
      </c>
      <c r="F22" s="68" t="inlineStr">
        <is>
          <t>N</t>
        </is>
      </c>
      <c r="G22" s="68" t="inlineStr">
        <is>
          <t>用户不是上传者，用户/组织/角色均无 ACTIVE 授权</t>
        </is>
      </c>
      <c r="H22" s="68" t="inlineStr">
        <is>
          <t>其他用户下载文件</t>
        </is>
      </c>
      <c r="I22" s="68" t="inlineStr">
        <is>
          <t>调用 canDownload</t>
        </is>
      </c>
      <c r="J22" s="68" t="inlineStr">
        <is>
          <t>返回 false</t>
        </is>
      </c>
      <c r="K22" s="68" t="inlineStr">
        <is>
          <t>与预期一致，自动化测试通过</t>
        </is>
      </c>
      <c r="L22" s="68" t="inlineStr">
        <is>
          <t>OK</t>
        </is>
      </c>
      <c r="M22" s="68" t="inlineStr">
        <is>
          <t>等价类</t>
        </is>
      </c>
      <c r="N22" s="43" t="n"/>
    </row>
    <row r="23" ht="58" customHeight="1">
      <c r="A23" s="68" t="inlineStr">
        <is>
          <t>A-022</t>
        </is>
      </c>
      <c r="B23" s="68" t="inlineStr">
        <is>
          <t>访问控制</t>
        </is>
      </c>
      <c r="C23" s="68" t="inlineStr">
        <is>
          <t>授权目标角色按白名单校验</t>
        </is>
      </c>
      <c r="D23" s="68" t="inlineStr">
        <is>
          <t>Medium</t>
        </is>
      </c>
      <c r="E23" s="68" t="inlineStr">
        <is>
          <t>Y</t>
        </is>
      </c>
      <c r="F23" s="68" t="inlineStr">
        <is>
          <t>N</t>
        </is>
      </c>
      <c r="G23" s="68" t="inlineStr">
        <is>
          <t>访问控制服务可用</t>
        </is>
      </c>
      <c r="H23" s="68" t="inlineStr">
        <is>
          <t>CONSIGNEE、CUSTOMS、FORWARDER、CARRIER</t>
        </is>
      </c>
      <c r="I23" s="68" t="inlineStr">
        <is>
          <t>逐个调用 requireAllowedGrantTarget</t>
        </is>
      </c>
      <c r="J23" s="68" t="inlineStr">
        <is>
          <t>前三者通过，CARRIER 被拒绝</t>
        </is>
      </c>
      <c r="K23" s="68" t="inlineStr">
        <is>
          <t>与预期一致，自动化测试通过</t>
        </is>
      </c>
      <c r="L23" s="68" t="inlineStr">
        <is>
          <t>OK</t>
        </is>
      </c>
      <c r="M23" s="68" t="inlineStr">
        <is>
          <t>等价类</t>
        </is>
      </c>
      <c r="N23" s="43" t="n"/>
    </row>
    <row r="24" ht="58" customHeight="1">
      <c r="A24" s="68" t="inlineStr">
        <is>
          <t>A-023</t>
        </is>
      </c>
      <c r="B24" s="68" t="inlineStr">
        <is>
          <t>访问控制</t>
        </is>
      </c>
      <c r="C24" s="68" t="inlineStr">
        <is>
          <t>跨链操作角色校验</t>
        </is>
      </c>
      <c r="D24" s="68" t="inlineStr">
        <is>
          <t>High</t>
        </is>
      </c>
      <c r="E24" s="68" t="inlineStr">
        <is>
          <t>Y</t>
        </is>
      </c>
      <c r="F24" s="68" t="inlineStr">
        <is>
          <t>N</t>
        </is>
      </c>
      <c r="G24" s="68" t="inlineStr">
        <is>
          <t>访问控制服务可用</t>
        </is>
      </c>
      <c r="H24" s="68" t="inlineStr">
        <is>
          <t>ADMIN、CROSS_CHAIN_GATEWAY、CONSIGNOR</t>
        </is>
      </c>
      <c r="I24" s="68" t="inlineStr">
        <is>
          <t>逐个调用 requireCrossChainOperator</t>
        </is>
      </c>
      <c r="J24" s="68" t="inlineStr">
        <is>
          <t>前两者通过，CONSIGNOR 被拒绝</t>
        </is>
      </c>
      <c r="K24" s="68" t="inlineStr">
        <is>
          <t>与预期一致，自动化测试通过</t>
        </is>
      </c>
      <c r="L24" s="68" t="inlineStr">
        <is>
          <t>OK</t>
        </is>
      </c>
      <c r="M24" s="68" t="inlineStr">
        <is>
          <t>等价类</t>
        </is>
      </c>
      <c r="N24" s="43" t="n"/>
    </row>
    <row r="25" ht="58" customHeight="1">
      <c r="A25" s="68" t="inlineStr">
        <is>
          <t>B-001</t>
        </is>
      </c>
      <c r="B25" s="68" t="inlineStr">
        <is>
          <t>跨链-前置检查</t>
        </is>
      </c>
      <c r="C25" s="68" t="inlineStr">
        <is>
          <t>源链与目标链相同被拒绝</t>
        </is>
      </c>
      <c r="D25" s="68" t="inlineStr">
        <is>
          <t>High</t>
        </is>
      </c>
      <c r="E25" s="68" t="inlineStr">
        <is>
          <t>Y</t>
        </is>
      </c>
      <c r="F25" s="68" t="inlineStr">
        <is>
          <t>N</t>
        </is>
      </c>
      <c r="G25" s="68" t="inlineStr">
        <is>
          <t>跨链操作用户已认证</t>
        </is>
      </c>
      <c r="H25" s="68" t="inlineStr">
        <is>
          <t>source=CHINA，target=CHINA</t>
        </is>
      </c>
      <c r="I25" s="68" t="inlineStr">
        <is>
          <t>调用 precheck</t>
        </is>
      </c>
      <c r="J25" s="68" t="inlineStr">
        <is>
          <t>结果 passed=false，包含源链和目标链失败项</t>
        </is>
      </c>
      <c r="K25" s="68" t="inlineStr">
        <is>
          <t>与预期一致，自动化测试通过</t>
        </is>
      </c>
      <c r="L25" s="68" t="inlineStr">
        <is>
          <t>OK</t>
        </is>
      </c>
      <c r="M25" s="68" t="inlineStr">
        <is>
          <t>边界值</t>
        </is>
      </c>
      <c r="N25" s="43" t="n"/>
    </row>
    <row r="26" ht="58" customHeight="1">
      <c r="A26" s="68" t="inlineStr">
        <is>
          <t>B-002</t>
        </is>
      </c>
      <c r="B26" s="68" t="inlineStr">
        <is>
          <t>跨链-前置检查</t>
        </is>
      </c>
      <c r="C26" s="68" t="inlineStr">
        <is>
          <t>已过期共享请求被拒绝</t>
        </is>
      </c>
      <c r="D26" s="68" t="inlineStr">
        <is>
          <t>High</t>
        </is>
      </c>
      <c r="E26" s="68" t="inlineStr">
        <is>
          <t>Y</t>
        </is>
      </c>
      <c r="F26" s="68" t="inlineStr">
        <is>
          <t>N</t>
        </is>
      </c>
      <c r="G26" s="68" t="inlineStr">
        <is>
          <t>运单、文件、源链记录均存在</t>
        </is>
      </c>
      <c r="H26" s="68" t="inlineStr">
        <is>
          <t>expiresAt=当前时间之前</t>
        </is>
      </c>
      <c r="I26" s="68" t="inlineStr">
        <is>
          <t>调用 precheck</t>
        </is>
      </c>
      <c r="J26" s="68" t="inlineStr">
        <is>
          <t>结果 passed=false，有效期合法项失败</t>
        </is>
      </c>
      <c r="K26" s="68" t="inlineStr">
        <is>
          <t>与预期一致，自动化测试通过</t>
        </is>
      </c>
      <c r="L26" s="68" t="inlineStr">
        <is>
          <t>OK</t>
        </is>
      </c>
      <c r="M26" s="68" t="inlineStr">
        <is>
          <t>边界值</t>
        </is>
      </c>
      <c r="N26" s="43" t="n"/>
    </row>
    <row r="27" ht="58" customHeight="1">
      <c r="A27" s="68" t="inlineStr">
        <is>
          <t>B-003</t>
        </is>
      </c>
      <c r="B27" s="68" t="inlineStr">
        <is>
          <t>跨链-前置检查</t>
        </is>
      </c>
      <c r="C27" s="68" t="inlineStr">
        <is>
          <t>依赖完整且有效期未来时检查通过</t>
        </is>
      </c>
      <c r="D27" s="68" t="inlineStr">
        <is>
          <t>High</t>
        </is>
      </c>
      <c r="E27" s="68" t="inlineStr">
        <is>
          <t>Y</t>
        </is>
      </c>
      <c r="F27" s="68" t="inlineStr">
        <is>
          <t>N</t>
        </is>
      </c>
      <c r="G27" s="68" t="inlineStr">
        <is>
          <t>MySQL 运单、文件摘要、源链存证均存在，源链匹配</t>
        </is>
      </c>
      <c r="H27" s="68" t="inlineStr">
        <is>
          <t>source=CHINA，target=EUROPE，expiresAt=未来</t>
        </is>
      </c>
      <c r="I27" s="68" t="inlineStr">
        <is>
          <t>调用 precheck</t>
        </is>
      </c>
      <c r="J27" s="68" t="inlineStr">
        <is>
          <t>8 个检查项全部通过</t>
        </is>
      </c>
      <c r="K27" s="68" t="inlineStr">
        <is>
          <t>与预期一致，自动化测试通过</t>
        </is>
      </c>
      <c r="L27" s="68" t="inlineStr">
        <is>
          <t>OK</t>
        </is>
      </c>
      <c r="M27" s="68" t="inlineStr">
        <is>
          <t>场景法</t>
        </is>
      </c>
      <c r="N27" s="43" t="n"/>
    </row>
    <row r="28" ht="58" customHeight="1">
      <c r="A28" s="68" t="inlineStr">
        <is>
          <t>B-004</t>
        </is>
      </c>
      <c r="B28" s="68" t="inlineStr">
        <is>
          <t>跨链-任务创建</t>
        </is>
      </c>
      <c r="C28" s="68" t="inlineStr">
        <is>
          <t>前置检查通过后创建 CREATED 任务</t>
        </is>
      </c>
      <c r="D28" s="68" t="inlineStr">
        <is>
          <t>High</t>
        </is>
      </c>
      <c r="E28" s="68" t="inlineStr">
        <is>
          <t>Y</t>
        </is>
      </c>
      <c r="F28" s="68" t="inlineStr">
        <is>
          <t>N</t>
        </is>
      </c>
      <c r="G28" s="68" t="inlineStr">
        <is>
          <t>跨链前置检查全部通过，当前用户 id=7</t>
        </is>
      </c>
      <c r="H28" s="68" t="inlineStr">
        <is>
          <t>WB-001，CHINA -&gt; EUROPE，有效期未来</t>
        </is>
      </c>
      <c r="I28" s="68" t="inlineStr">
        <is>
          <t>调用 create</t>
        </is>
      </c>
      <c r="J28" s="68" t="inlineStr">
        <is>
          <t>保存带 CCT-/XCC- 标识、createdBy=7、状态 CREATED 的任务</t>
        </is>
      </c>
      <c r="K28" s="68" t="inlineStr">
        <is>
          <t>与预期一致，自动化测试通过</t>
        </is>
      </c>
      <c r="L28" s="68" t="inlineStr">
        <is>
          <t>OK</t>
        </is>
      </c>
      <c r="M28" s="68" t="inlineStr">
        <is>
          <t>场景法</t>
        </is>
      </c>
      <c r="N28" s="43" t="n"/>
    </row>
    <row r="29" ht="58" customHeight="1">
      <c r="A29" s="68" t="inlineStr">
        <is>
          <t>B-005</t>
        </is>
      </c>
      <c r="B29" s="68" t="inlineStr">
        <is>
          <t>跨链-任务创建</t>
        </is>
      </c>
      <c r="C29" s="68" t="inlineStr">
        <is>
          <t>前置检查失败时不创建任务</t>
        </is>
      </c>
      <c r="D29" s="68" t="inlineStr">
        <is>
          <t>High</t>
        </is>
      </c>
      <c r="E29" s="68" t="inlineStr">
        <is>
          <t>Y</t>
        </is>
      </c>
      <c r="F29" s="68" t="inlineStr">
        <is>
          <t>N</t>
        </is>
      </c>
      <c r="G29" s="68" t="inlineStr">
        <is>
          <t>运单存在但文件和源链记录缺失</t>
        </is>
      </c>
      <c r="H29" s="68" t="inlineStr">
        <is>
          <t>WB-001，CHINA -&gt; EUROPE</t>
        </is>
      </c>
      <c r="I29" s="68" t="inlineStr">
        <is>
          <t>调用 create</t>
        </is>
      </c>
      <c r="J29" s="68" t="inlineStr">
        <is>
          <t>抛出前置检查未通过异常，仓储不保存任务</t>
        </is>
      </c>
      <c r="K29" s="68" t="inlineStr">
        <is>
          <t>与预期一致，自动化测试通过</t>
        </is>
      </c>
      <c r="L29" s="68" t="inlineStr">
        <is>
          <t>OK</t>
        </is>
      </c>
      <c r="M29" s="68" t="inlineStr">
        <is>
          <t>等价类</t>
        </is>
      </c>
      <c r="N29" s="43" t="n"/>
    </row>
    <row r="30" ht="58" customHeight="1">
      <c r="A30" s="68" t="inlineStr">
        <is>
          <t>B-006</t>
        </is>
      </c>
      <c r="B30" s="68" t="inlineStr">
        <is>
          <t>跨链-执行</t>
        </is>
      </c>
      <c r="C30" s="68" t="inlineStr">
        <is>
          <t>跨链成功执行并确认目标链回执</t>
        </is>
      </c>
      <c r="D30" s="68" t="inlineStr">
        <is>
          <t>High</t>
        </is>
      </c>
      <c r="E30" s="68" t="inlineStr">
        <is>
          <t>Y</t>
        </is>
      </c>
      <c r="F30" s="68" t="inlineStr">
        <is>
          <t>N</t>
        </is>
      </c>
      <c r="G30" s="68" t="inlineStr">
        <is>
          <t>任务为 CREATED，源链记录存在，目标链 Mock 返回成功回执</t>
        </is>
      </c>
      <c r="H30" s="68" t="inlineStr">
        <is>
          <t>目标 tx=europe-tx-001</t>
        </is>
      </c>
      <c r="I30" s="68" t="inlineStr">
        <is>
          <t>调用 execute</t>
        </is>
      </c>
      <c r="J30" s="68" t="inlineStr">
        <is>
          <t>任务最终为 CONFIRMED，生成 credential/message/receipt/evidence 哈希</t>
        </is>
      </c>
      <c r="K30" s="68" t="inlineStr">
        <is>
          <t>与预期一致，自动化测试通过</t>
        </is>
      </c>
      <c r="L30" s="68" t="inlineStr">
        <is>
          <t>OK</t>
        </is>
      </c>
      <c r="M30" s="68" t="inlineStr">
        <is>
          <t>场景法</t>
        </is>
      </c>
      <c r="N30" s="43" t="n"/>
    </row>
    <row r="31" ht="58" customHeight="1">
      <c r="A31" s="68" t="inlineStr">
        <is>
          <t>B-007</t>
        </is>
      </c>
      <c r="B31" s="68" t="inlineStr">
        <is>
          <t>跨链-retry</t>
        </is>
      </c>
      <c r="C31" s="68" t="inlineStr">
        <is>
          <t>CONFIRMED 任务 retry 不重复写目标链</t>
        </is>
      </c>
      <c r="D31" s="68" t="inlineStr">
        <is>
          <t>High</t>
        </is>
      </c>
      <c r="E31" s="68" t="inlineStr">
        <is>
          <t>Y</t>
        </is>
      </c>
      <c r="F31" s="68" t="inlineStr">
        <is>
          <t>N</t>
        </is>
      </c>
      <c r="G31" s="68" t="inlineStr">
        <is>
          <t>任务已成功执行并有完整哈希</t>
        </is>
      </c>
      <c r="H31" s="68" t="inlineStr">
        <is>
          <t>再次调用 execute 同一 taskId</t>
        </is>
      </c>
      <c r="I31" s="68" t="inlineStr">
        <is>
          <t>连续调用两次 execute</t>
        </is>
      </c>
      <c r="J31" s="68" t="inlineStr">
        <is>
          <t>第二次直接返回确认结果，Fabric 接收方法总共只调用一次</t>
        </is>
      </c>
      <c r="K31" s="68" t="inlineStr">
        <is>
          <t>与预期一致，自动化测试通过</t>
        </is>
      </c>
      <c r="L31" s="68" t="inlineStr">
        <is>
          <t>OK</t>
        </is>
      </c>
      <c r="M31" s="68" t="inlineStr">
        <is>
          <t>场景法</t>
        </is>
      </c>
      <c r="N31" s="43" t="n"/>
    </row>
    <row r="32" ht="58" customHeight="1">
      <c r="A32" s="68" t="inlineStr">
        <is>
          <t>B-008</t>
        </is>
      </c>
      <c r="B32" s="68" t="inlineStr">
        <is>
          <t>跨链-失败处理</t>
        </is>
      </c>
      <c r="C32" s="68" t="inlineStr">
        <is>
          <t>源链记录缺失时任务转 FAILED</t>
        </is>
      </c>
      <c r="D32" s="68" t="inlineStr">
        <is>
          <t>High</t>
        </is>
      </c>
      <c r="E32" s="68" t="inlineStr">
        <is>
          <t>Y</t>
        </is>
      </c>
      <c r="F32" s="68" t="inlineStr">
        <is>
          <t>N</t>
        </is>
      </c>
      <c r="G32" s="68" t="inlineStr">
        <is>
          <t>任务存在但 Fabric 源链查询为空</t>
        </is>
      </c>
      <c r="H32" s="68" t="inlineStr">
        <is>
          <t>CCT-001</t>
        </is>
      </c>
      <c r="I32" s="68" t="inlineStr">
        <is>
          <t>调用 execute</t>
        </is>
      </c>
      <c r="J32" s="68" t="inlineStr">
        <is>
          <t>任务状态为 FAILED，保存错误信息，不调用目标链接收</t>
        </is>
      </c>
      <c r="K32" s="68" t="inlineStr">
        <is>
          <t>与预期一致，自动化测试通过</t>
        </is>
      </c>
      <c r="L32" s="68" t="inlineStr">
        <is>
          <t>OK</t>
        </is>
      </c>
      <c r="M32" s="68" t="inlineStr">
        <is>
          <t>等价类</t>
        </is>
      </c>
      <c r="N32" s="43" t="n"/>
    </row>
    <row r="33" ht="58" customHeight="1">
      <c r="A33" s="68" t="inlineStr">
        <is>
          <t>B-009</t>
        </is>
      </c>
      <c r="B33" s="68" t="inlineStr">
        <is>
          <t>跨链-核验</t>
        </is>
      </c>
      <c r="C33" s="68" t="inlineStr">
        <is>
          <t>未确认任务不能执行跨链核验</t>
        </is>
      </c>
      <c r="D33" s="68" t="inlineStr">
        <is>
          <t>High</t>
        </is>
      </c>
      <c r="E33" s="68" t="inlineStr">
        <is>
          <t>Y</t>
        </is>
      </c>
      <c r="F33" s="68" t="inlineStr">
        <is>
          <t>N</t>
        </is>
      </c>
      <c r="G33" s="68" t="inlineStr">
        <is>
          <t>任务状态为 CREATED</t>
        </is>
      </c>
      <c r="H33" s="68" t="inlineStr">
        <is>
          <t>CCT-001</t>
        </is>
      </c>
      <c r="I33" s="68" t="inlineStr">
        <is>
          <t>调用 verify</t>
        </is>
      </c>
      <c r="J33" s="68" t="inlineStr">
        <is>
          <t>返回 passed=false，记录核验时间和失败原因</t>
        </is>
      </c>
      <c r="K33" s="68" t="inlineStr">
        <is>
          <t>与预期一致，自动化测试通过</t>
        </is>
      </c>
      <c r="L33" s="68" t="inlineStr">
        <is>
          <t>OK</t>
        </is>
      </c>
      <c r="M33" s="68" t="inlineStr">
        <is>
          <t>状态转换</t>
        </is>
      </c>
      <c r="N33" s="43" t="n"/>
    </row>
    <row r="34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3" t="n"/>
    </row>
    <row r="3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3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3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3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3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3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3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3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3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3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3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3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3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3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3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3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3" t="n"/>
    </row>
    <row r="5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autoFilter ref="A1:M33"/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5" right="0.5" top="0.5" bottom="0.5" header="0" footer="0"/>
  <pageSetup orientation="landscape" paperSize="9" scale="85" horizontalDpi="429496729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28125" defaultRowHeight="15.6"/>
  <cols>
    <col width="4.6328125" customWidth="1" style="1" min="1" max="1"/>
    <col width="67.6328125" customWidth="1" style="1" min="2" max="2"/>
    <col width="11.6328125" customWidth="1" style="1" min="3" max="16384"/>
  </cols>
  <sheetData>
    <row r="1" ht="16.2" customHeight="1">
      <c r="A1" s="45" t="inlineStr">
        <is>
          <t>Introduction 使用说明</t>
        </is>
      </c>
      <c r="B1" s="45" t="n"/>
      <c r="C1" s="2" t="n"/>
    </row>
    <row r="2" ht="28.8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6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8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6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2003-02-20T06:59:55Z</dcterms:created>
  <dcterms:modified xmlns:dcterms="http://purl.org/dc/terms/" xmlns:xsi="http://www.w3.org/2001/XMLSchema-instance" xsi:type="dcterms:W3CDTF">2026-09-13T09:55:34Z</dcterms:modified>
  <cp:lastModifiedBy>user</cp:lastModifiedBy>
  <cp:lastPrinted>2003-12-15T03:50:21Z</cp:lastPrinted>
</cp:coreProperties>
</file>